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ch\Documents\GRANT APPLICATIONS\OAC APPLICATION\"/>
    </mc:Choice>
  </mc:AlternateContent>
  <xr:revisionPtr revIDLastSave="0" documentId="13_ncr:1_{2EE924E8-ACB0-4F75-B432-6AB6A4666B70}" xr6:coauthVersionLast="47" xr6:coauthVersionMax="47" xr10:uidLastSave="{00000000-0000-0000-0000-000000000000}"/>
  <bookViews>
    <workbookView xWindow="-110" yWindow="-110" windowWidth="19420" windowHeight="10420" tabRatio="599" xr2:uid="{00000000-000D-0000-FFFF-FFFF00000000}"/>
  </bookViews>
  <sheets>
    <sheet name="OAC Detailed Budget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2" l="1"/>
  <c r="D45" i="2" l="1"/>
  <c r="E15" i="2" l="1"/>
  <c r="D75" i="2"/>
  <c r="D77" i="2" s="1"/>
  <c r="C75" i="2"/>
  <c r="C77" i="2" s="1"/>
  <c r="D70" i="2"/>
  <c r="C70" i="2"/>
  <c r="C45" i="2"/>
  <c r="D35" i="2"/>
  <c r="C79" i="2" l="1"/>
  <c r="C78" i="2"/>
  <c r="E25" i="2"/>
  <c r="C15" i="2"/>
  <c r="C25" i="2" s="1"/>
  <c r="C26" i="2" l="1"/>
  <c r="C81" i="2" s="1"/>
  <c r="F5" i="2" l="1"/>
</calcChain>
</file>

<file path=xl/sharedStrings.xml><?xml version="1.0" encoding="utf-8"?>
<sst xmlns="http://schemas.openxmlformats.org/spreadsheetml/2006/main" count="145" uniqueCount="113">
  <si>
    <t>Media Artists Creation Projects: Detailed Budget</t>
  </si>
  <si>
    <t>Total Revenues - Total Expenses
**NOTE: Total Revenues minus Total Expenses MUST equal ZERO</t>
  </si>
  <si>
    <t>Revenues</t>
  </si>
  <si>
    <r>
      <t xml:space="preserve">Note: You </t>
    </r>
    <r>
      <rPr>
        <b/>
        <i/>
        <sz val="12"/>
        <rFont val="Calibri"/>
        <family val="2"/>
        <scheme val="minor"/>
      </rPr>
      <t>must</t>
    </r>
    <r>
      <rPr>
        <sz val="12"/>
        <rFont val="Calibri"/>
        <family val="2"/>
        <scheme val="minor"/>
      </rPr>
      <t xml:space="preserve"> indicate whether sources are confirmed</t>
    </r>
  </si>
  <si>
    <t xml:space="preserve"> </t>
  </si>
  <si>
    <t>Description</t>
  </si>
  <si>
    <t>OAC</t>
  </si>
  <si>
    <t>Confirmed?</t>
  </si>
  <si>
    <t>Other sources</t>
  </si>
  <si>
    <t>Government revenues</t>
  </si>
  <si>
    <t>Grant requested from this OAC program</t>
  </si>
  <si>
    <t>Total government revenues</t>
  </si>
  <si>
    <t>Private sector revenues</t>
  </si>
  <si>
    <t>Total private sector revenues</t>
  </si>
  <si>
    <t>Earned revenues</t>
  </si>
  <si>
    <t>Total earned revenues</t>
  </si>
  <si>
    <t>TOTAL REVENUES FROM ALL SOURCES**</t>
  </si>
  <si>
    <t>Expenses</t>
  </si>
  <si>
    <r>
      <t xml:space="preserve">Note: You </t>
    </r>
    <r>
      <rPr>
        <b/>
        <i/>
        <sz val="12"/>
        <rFont val="Calibri"/>
        <family val="2"/>
        <scheme val="minor"/>
      </rPr>
      <t>must</t>
    </r>
    <r>
      <rPr>
        <sz val="12"/>
        <rFont val="Calibri"/>
        <family val="2"/>
        <scheme val="minor"/>
      </rPr>
      <t xml:space="preserve"> make sure Total Expenses and Total Revenues are equal</t>
    </r>
  </si>
  <si>
    <t xml:space="preserve">Covered by OAC </t>
  </si>
  <si>
    <t>Covered by other source</t>
  </si>
  <si>
    <t>Specify the other source of funding 
(Canada Council, donation, deferral, personal funds, etc.)</t>
  </si>
  <si>
    <t>Budget notes (explain your calculations)</t>
  </si>
  <si>
    <r>
      <t xml:space="preserve">Development fees (these are </t>
    </r>
    <r>
      <rPr>
        <b/>
        <i/>
        <sz val="12"/>
        <rFont val="Calibri"/>
        <family val="2"/>
        <scheme val="minor"/>
      </rPr>
      <t xml:space="preserve">not </t>
    </r>
    <r>
      <rPr>
        <b/>
        <sz val="12"/>
        <rFont val="Calibri"/>
        <family val="2"/>
        <scheme val="minor"/>
      </rPr>
      <t>covered by the OAC grant; you may include them here if covered by other funds)</t>
    </r>
  </si>
  <si>
    <t xml:space="preserve">Writer's fee </t>
  </si>
  <si>
    <t>Research/development</t>
  </si>
  <si>
    <t>Producer fee for development phase</t>
  </si>
  <si>
    <t>Total development fees</t>
  </si>
  <si>
    <t>Artistic expenses</t>
  </si>
  <si>
    <t>Applicant's director/artist Fee</t>
  </si>
  <si>
    <t>Fees to performers or artistic collaborators (please add rows below to indicate fees paid to each individual collaborator)</t>
  </si>
  <si>
    <t>Audio (composition, performance fees, rights)</t>
  </si>
  <si>
    <t>Total artistic expenses</t>
  </si>
  <si>
    <t>Technical and production expenses</t>
  </si>
  <si>
    <t>Fees to production crew or technical collaborators (please add rows to indicate fees paid to each individual collaborator)</t>
  </si>
  <si>
    <t>Equipment rental</t>
  </si>
  <si>
    <t>Studio or other facilities rental</t>
  </si>
  <si>
    <t>Production materials and supplies</t>
  </si>
  <si>
    <t>Fees to post-production personnel (please add rows to indicate fees paid to each individual collaborator)</t>
  </si>
  <si>
    <t>Total technical and production expenses</t>
  </si>
  <si>
    <t>Administrative expenses</t>
  </si>
  <si>
    <t>Promotional materials</t>
  </si>
  <si>
    <t>Administrative expenses subtotal</t>
  </si>
  <si>
    <r>
      <t xml:space="preserve">Contingency </t>
    </r>
    <r>
      <rPr>
        <i/>
        <sz val="12"/>
        <rFont val="Calibri"/>
        <family val="2"/>
        <scheme val="minor"/>
      </rPr>
      <t>(up to 10% of SUBTOTAL)</t>
    </r>
  </si>
  <si>
    <t>Total administrative expenses</t>
  </si>
  <si>
    <t xml:space="preserve">Total expenses covered by OAC </t>
  </si>
  <si>
    <t>TOTAL EXPENSES**</t>
  </si>
  <si>
    <t>`</t>
  </si>
  <si>
    <r>
      <rPr>
        <b/>
        <sz val="12"/>
        <rFont val="Calibri"/>
        <family val="2"/>
        <scheme val="minor"/>
      </rPr>
      <t>Please Note:</t>
    </r>
    <r>
      <rPr>
        <sz val="12"/>
        <rFont val="Calibri"/>
        <family val="2"/>
        <scheme val="minor"/>
      </rPr>
      <t xml:space="preserve"> If you add rows to your budget it may misaligne the template's equations. Please be sure update SUM equations in the template as needed.</t>
    </r>
  </si>
  <si>
    <t>Other OAC - Include details (add rows as needed)</t>
  </si>
  <si>
    <t>Other government - Include details (add rows as needed)</t>
  </si>
  <si>
    <t>Other funders - Include details (add rows as needed)</t>
  </si>
  <si>
    <t>Donations - Include details (add rows as needed)</t>
  </si>
  <si>
    <t>Deferrals - Include details (add rows as needed)</t>
  </si>
  <si>
    <t>Other earned revenue – Include details (add rows as needed)</t>
  </si>
  <si>
    <t>Other - Include details below (add rows as needed)</t>
  </si>
  <si>
    <t>Anthony Michael Perri</t>
  </si>
  <si>
    <t>No</t>
  </si>
  <si>
    <t>Canada Council for the Arts Concept to Realization Grant</t>
  </si>
  <si>
    <t>Rate per section D-201 of the Writers Guild of Canada IPA</t>
  </si>
  <si>
    <t>Grip and Electric Gear, Camera Equipment, Sound Equipment</t>
  </si>
  <si>
    <t>Location rentals for 5 days of shooting</t>
  </si>
  <si>
    <t>Picture car rentals</t>
  </si>
  <si>
    <t>Two vehicles at $250 each for 3 days of shooting</t>
  </si>
  <si>
    <t>For 1 day of shooting</t>
  </si>
  <si>
    <t>Costumes, props, set dressing and special effects</t>
  </si>
  <si>
    <t>ACTRA fees</t>
  </si>
  <si>
    <t>Principal actors (2)</t>
  </si>
  <si>
    <t>Actors (5)</t>
  </si>
  <si>
    <t>4% of actors rates plus $350 ACTRA administrative fee</t>
  </si>
  <si>
    <t>Composing, recording and rights to new composition</t>
  </si>
  <si>
    <t>Key Hair &amp; Make-up Artist</t>
  </si>
  <si>
    <t>Wardrobe Artist</t>
  </si>
  <si>
    <t>$300 a day Favoured Nations at 4 shoot days total</t>
  </si>
  <si>
    <t>Canada Council</t>
  </si>
  <si>
    <t>Producers</t>
  </si>
  <si>
    <t>Director of Photography</t>
  </si>
  <si>
    <t>1st Assistant Director</t>
  </si>
  <si>
    <t>Camera Department</t>
  </si>
  <si>
    <t>Grip and Electric Department</t>
  </si>
  <si>
    <t>Production Designer</t>
  </si>
  <si>
    <t>Sound Department</t>
  </si>
  <si>
    <t>Script Supervisor</t>
  </si>
  <si>
    <t>Stunt Coordinator</t>
  </si>
  <si>
    <t>$300 a day Favoured Nations at 5 shoot days total</t>
  </si>
  <si>
    <t>Sound Designer, Boom Operator and Sound Mixer</t>
  </si>
  <si>
    <t>$250 a day Favoured Nations at 5 shoot days total</t>
  </si>
  <si>
    <t>$250 a day per ACTRA tier 3 low budget rates at a scheduled 5 day shoot</t>
  </si>
  <si>
    <t>Flat across five days of shooting and one day prep</t>
  </si>
  <si>
    <t>Flat rate across pre, production, and post</t>
  </si>
  <si>
    <t>Location Scout</t>
  </si>
  <si>
    <t>Flat rate for scouting 3 locations</t>
  </si>
  <si>
    <t>Flat across entire editing process</t>
  </si>
  <si>
    <t>Craft and Catering</t>
  </si>
  <si>
    <t>Flat for 5 days of shooting</t>
  </si>
  <si>
    <t>Film Editor and Colour Correction Artist</t>
  </si>
  <si>
    <t>Edit Suite</t>
  </si>
  <si>
    <t>Sound Recording Studio</t>
  </si>
  <si>
    <t>$50 a day rental at 4 days for rough and locked cuts</t>
  </si>
  <si>
    <t>$40 an hour for 6 hours of voiceover and ADR recording</t>
  </si>
  <si>
    <t>Insurance</t>
  </si>
  <si>
    <t>$250 a day per ACTRA tier 3 low budget rates at a scheduled 1 day shoot each</t>
  </si>
  <si>
    <t>$300 a day per ACTRA tier 3 low budget rates at a scheduled 4 day shoot each</t>
  </si>
  <si>
    <t>Camera Operator and 1st and 2nd Assistant Camera</t>
  </si>
  <si>
    <t>Data Imaging Technician</t>
  </si>
  <si>
    <t>Fees for production expenses, location and equipment rentals</t>
  </si>
  <si>
    <t xml:space="preserve">                                                                              </t>
  </si>
  <si>
    <t>Contingency for any unforeseen costs and expenses</t>
  </si>
  <si>
    <t>Film festival submissions, social media ads, location rentals for promotional events</t>
  </si>
  <si>
    <t>Flat rate across pre, production, and post for producers and associate producer</t>
  </si>
  <si>
    <t xml:space="preserve">Key Grip and Gaffer                        </t>
  </si>
  <si>
    <t>Process Trailer and Technicians</t>
  </si>
  <si>
    <t>ACTRA insurance, car insurance, location and equipment rental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</si>
</sst>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&quot;$&quot;* #,##0.00_);_(&quot;$&quot;* \(#,##0.00\);_(&quot;$&quot;* &quot;-&quot;_);_(@_)"/>
    <numFmt numFmtId="167" formatCode="_(&quot;$&quot;* #,##0_);_(&quot;$&quot;* \(#,##0\);_(&quot;$&quot;* &quot;-&quot;??_);_(@_)"/>
  </numFmts>
  <fonts count="18" x14ac:knownFonts="1">
    <font>
      <sz val="10"/>
      <name val="Arial"/>
    </font>
    <font>
      <sz val="20"/>
      <name val="Calibri"/>
      <family val="2"/>
      <scheme val="minor"/>
    </font>
    <font>
      <sz val="10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26"/>
      <name val="Calibri"/>
      <family val="2"/>
      <scheme val="minor"/>
    </font>
    <font>
      <b/>
      <sz val="26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1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wrapText="1"/>
    </xf>
    <xf numFmtId="0" fontId="4" fillId="0" borderId="0" xfId="0" applyFont="1"/>
    <xf numFmtId="164" fontId="4" fillId="0" borderId="0" xfId="0" applyNumberFormat="1" applyFont="1" applyAlignment="1">
      <alignment vertical="center"/>
    </xf>
    <xf numFmtId="0" fontId="2" fillId="0" borderId="0" xfId="0" applyFont="1" applyAlignment="1">
      <alignment wrapText="1"/>
    </xf>
    <xf numFmtId="16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0" fontId="10" fillId="7" borderId="17" xfId="0" applyFont="1" applyFill="1" applyBorder="1"/>
    <xf numFmtId="0" fontId="7" fillId="7" borderId="23" xfId="0" applyFont="1" applyFill="1" applyBorder="1" applyAlignment="1">
      <alignment horizontal="left"/>
    </xf>
    <xf numFmtId="0" fontId="2" fillId="7" borderId="23" xfId="0" applyFont="1" applyFill="1" applyBorder="1"/>
    <xf numFmtId="0" fontId="2" fillId="7" borderId="27" xfId="0" applyFont="1" applyFill="1" applyBorder="1"/>
    <xf numFmtId="0" fontId="6" fillId="7" borderId="17" xfId="0" applyFont="1" applyFill="1" applyBorder="1" applyAlignment="1">
      <alignment horizontal="left" wrapText="1"/>
    </xf>
    <xf numFmtId="0" fontId="10" fillId="6" borderId="17" xfId="0" applyFont="1" applyFill="1" applyBorder="1"/>
    <xf numFmtId="0" fontId="6" fillId="7" borderId="21" xfId="0" applyFont="1" applyFill="1" applyBorder="1" applyAlignment="1">
      <alignment horizontal="center" wrapText="1"/>
    </xf>
    <xf numFmtId="0" fontId="6" fillId="7" borderId="22" xfId="0" applyFont="1" applyFill="1" applyBorder="1" applyAlignment="1">
      <alignment horizontal="center" wrapText="1"/>
    </xf>
    <xf numFmtId="0" fontId="7" fillId="0" borderId="19" xfId="0" applyFont="1" applyBorder="1" applyAlignment="1">
      <alignment horizontal="left"/>
    </xf>
    <xf numFmtId="166" fontId="6" fillId="0" borderId="3" xfId="0" applyNumberFormat="1" applyFont="1" applyBorder="1"/>
    <xf numFmtId="164" fontId="6" fillId="0" borderId="3" xfId="0" applyNumberFormat="1" applyFont="1" applyBorder="1"/>
    <xf numFmtId="166" fontId="6" fillId="3" borderId="3" xfId="0" applyNumberFormat="1" applyFont="1" applyFill="1" applyBorder="1"/>
    <xf numFmtId="164" fontId="6" fillId="3" borderId="20" xfId="0" applyNumberFormat="1" applyFont="1" applyFill="1" applyBorder="1"/>
    <xf numFmtId="0" fontId="7" fillId="2" borderId="19" xfId="0" applyFont="1" applyFill="1" applyBorder="1" applyAlignment="1">
      <alignment horizontal="left"/>
    </xf>
    <xf numFmtId="166" fontId="6" fillId="2" borderId="1" xfId="0" applyNumberFormat="1" applyFont="1" applyFill="1" applyBorder="1"/>
    <xf numFmtId="164" fontId="6" fillId="2" borderId="3" xfId="0" applyNumberFormat="1" applyFont="1" applyFill="1" applyBorder="1"/>
    <xf numFmtId="166" fontId="6" fillId="3" borderId="1" xfId="0" applyNumberFormat="1" applyFont="1" applyFill="1" applyBorder="1"/>
    <xf numFmtId="0" fontId="7" fillId="0" borderId="15" xfId="0" applyFont="1" applyBorder="1" applyAlignment="1">
      <alignment horizontal="left"/>
    </xf>
    <xf numFmtId="0" fontId="7" fillId="3" borderId="1" xfId="0" applyFont="1" applyFill="1" applyBorder="1"/>
    <xf numFmtId="166" fontId="6" fillId="0" borderId="1" xfId="0" applyNumberFormat="1" applyFont="1" applyBorder="1"/>
    <xf numFmtId="0" fontId="7" fillId="0" borderId="10" xfId="0" applyFont="1" applyBorder="1"/>
    <xf numFmtId="0" fontId="6" fillId="3" borderId="29" xfId="0" applyFont="1" applyFill="1" applyBorder="1" applyAlignment="1">
      <alignment horizontal="right"/>
    </xf>
    <xf numFmtId="166" fontId="6" fillId="3" borderId="30" xfId="0" applyNumberFormat="1" applyFont="1" applyFill="1" applyBorder="1"/>
    <xf numFmtId="164" fontId="6" fillId="3" borderId="30" xfId="0" applyNumberFormat="1" applyFont="1" applyFill="1" applyBorder="1"/>
    <xf numFmtId="164" fontId="6" fillId="3" borderId="31" xfId="0" applyNumberFormat="1" applyFont="1" applyFill="1" applyBorder="1"/>
    <xf numFmtId="164" fontId="6" fillId="0" borderId="20" xfId="0" applyNumberFormat="1" applyFont="1" applyBorder="1"/>
    <xf numFmtId="164" fontId="6" fillId="0" borderId="10" xfId="0" applyNumberFormat="1" applyFont="1" applyBorder="1"/>
    <xf numFmtId="0" fontId="6" fillId="3" borderId="15" xfId="0" applyFont="1" applyFill="1" applyBorder="1" applyAlignment="1">
      <alignment horizontal="right"/>
    </xf>
    <xf numFmtId="164" fontId="6" fillId="3" borderId="1" xfId="0" applyNumberFormat="1" applyFont="1" applyFill="1" applyBorder="1"/>
    <xf numFmtId="164" fontId="6" fillId="3" borderId="10" xfId="0" applyNumberFormat="1" applyFont="1" applyFill="1" applyBorder="1"/>
    <xf numFmtId="0" fontId="12" fillId="0" borderId="15" xfId="0" applyFont="1" applyBorder="1" applyAlignment="1">
      <alignment horizontal="left"/>
    </xf>
    <xf numFmtId="0" fontId="6" fillId="3" borderId="16" xfId="0" applyFont="1" applyFill="1" applyBorder="1" applyAlignment="1">
      <alignment horizontal="right"/>
    </xf>
    <xf numFmtId="166" fontId="6" fillId="3" borderId="12" xfId="0" applyNumberFormat="1" applyFont="1" applyFill="1" applyBorder="1"/>
    <xf numFmtId="164" fontId="6" fillId="3" borderId="12" xfId="0" applyNumberFormat="1" applyFont="1" applyFill="1" applyBorder="1"/>
    <xf numFmtId="164" fontId="6" fillId="3" borderId="13" xfId="0" applyNumberFormat="1" applyFont="1" applyFill="1" applyBorder="1"/>
    <xf numFmtId="0" fontId="6" fillId="3" borderId="17" xfId="0" applyFont="1" applyFill="1" applyBorder="1" applyAlignment="1">
      <alignment horizontal="right"/>
    </xf>
    <xf numFmtId="166" fontId="6" fillId="3" borderId="18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9" xfId="0" applyFont="1" applyBorder="1"/>
    <xf numFmtId="164" fontId="7" fillId="3" borderId="1" xfId="0" applyNumberFormat="1" applyFont="1" applyFill="1" applyBorder="1"/>
    <xf numFmtId="0" fontId="7" fillId="0" borderId="2" xfId="0" applyFont="1" applyBorder="1"/>
    <xf numFmtId="0" fontId="6" fillId="0" borderId="2" xfId="0" applyFont="1" applyBorder="1" applyAlignment="1">
      <alignment horizontal="center" wrapText="1"/>
    </xf>
    <xf numFmtId="0" fontId="7" fillId="0" borderId="11" xfId="0" applyFont="1" applyBorder="1"/>
    <xf numFmtId="164" fontId="7" fillId="3" borderId="12" xfId="0" applyNumberFormat="1" applyFont="1" applyFill="1" applyBorder="1"/>
    <xf numFmtId="166" fontId="6" fillId="0" borderId="12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left"/>
    </xf>
    <xf numFmtId="166" fontId="6" fillId="0" borderId="8" xfId="0" applyNumberFormat="1" applyFont="1" applyBorder="1"/>
    <xf numFmtId="0" fontId="7" fillId="0" borderId="14" xfId="0" applyFont="1" applyBorder="1" applyAlignment="1">
      <alignment horizontal="left"/>
    </xf>
    <xf numFmtId="0" fontId="7" fillId="2" borderId="25" xfId="0" applyFont="1" applyFill="1" applyBorder="1" applyAlignment="1">
      <alignment wrapText="1"/>
    </xf>
    <xf numFmtId="0" fontId="7" fillId="0" borderId="5" xfId="0" applyFont="1" applyBorder="1"/>
    <xf numFmtId="0" fontId="7" fillId="2" borderId="9" xfId="0" applyFont="1" applyFill="1" applyBorder="1" applyAlignment="1">
      <alignment wrapText="1"/>
    </xf>
    <xf numFmtId="0" fontId="7" fillId="0" borderId="25" xfId="0" applyFont="1" applyBorder="1"/>
    <xf numFmtId="0" fontId="6" fillId="3" borderId="6" xfId="0" applyFont="1" applyFill="1" applyBorder="1" applyAlignment="1">
      <alignment horizontal="left" wrapText="1"/>
    </xf>
    <xf numFmtId="166" fontId="6" fillId="3" borderId="27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/>
    <xf numFmtId="0" fontId="6" fillId="3" borderId="4" xfId="0" applyFont="1" applyFill="1" applyBorder="1" applyAlignment="1">
      <alignment horizontal="right"/>
    </xf>
    <xf numFmtId="166" fontId="6" fillId="3" borderId="26" xfId="0" applyNumberFormat="1" applyFont="1" applyFill="1" applyBorder="1"/>
    <xf numFmtId="0" fontId="9" fillId="3" borderId="17" xfId="0" applyFont="1" applyFill="1" applyBorder="1" applyAlignment="1">
      <alignment horizontal="right"/>
    </xf>
    <xf numFmtId="164" fontId="6" fillId="3" borderId="3" xfId="0" applyNumberFormat="1" applyFont="1" applyFill="1" applyBorder="1"/>
    <xf numFmtId="0" fontId="6" fillId="6" borderId="17" xfId="0" applyFont="1" applyFill="1" applyBorder="1" applyAlignment="1">
      <alignment wrapText="1"/>
    </xf>
    <xf numFmtId="0" fontId="6" fillId="6" borderId="24" xfId="0" applyFont="1" applyFill="1" applyBorder="1" applyAlignment="1">
      <alignment horizontal="center" wrapText="1"/>
    </xf>
    <xf numFmtId="0" fontId="6" fillId="6" borderId="21" xfId="0" applyFont="1" applyFill="1" applyBorder="1" applyAlignment="1">
      <alignment horizontal="center" wrapText="1"/>
    </xf>
    <xf numFmtId="166" fontId="13" fillId="0" borderId="0" xfId="0" applyNumberFormat="1" applyFont="1"/>
    <xf numFmtId="0" fontId="14" fillId="0" borderId="0" xfId="0" applyFont="1" applyAlignment="1">
      <alignment horizontal="left"/>
    </xf>
    <xf numFmtId="165" fontId="13" fillId="0" borderId="0" xfId="0" applyNumberFormat="1" applyFont="1"/>
    <xf numFmtId="0" fontId="13" fillId="0" borderId="0" xfId="0" applyFont="1" applyAlignment="1">
      <alignment horizontal="right"/>
    </xf>
    <xf numFmtId="0" fontId="14" fillId="0" borderId="0" xfId="0" applyFont="1"/>
    <xf numFmtId="166" fontId="13" fillId="3" borderId="18" xfId="0" applyNumberFormat="1" applyFont="1" applyFill="1" applyBorder="1"/>
    <xf numFmtId="0" fontId="13" fillId="3" borderId="17" xfId="0" applyFont="1" applyFill="1" applyBorder="1" applyAlignment="1">
      <alignment horizontal="right"/>
    </xf>
    <xf numFmtId="166" fontId="13" fillId="3" borderId="18" xfId="0" applyNumberFormat="1" applyFont="1" applyFill="1" applyBorder="1" applyAlignment="1">
      <alignment horizontal="right" vertical="center"/>
    </xf>
    <xf numFmtId="0" fontId="3" fillId="2" borderId="0" xfId="0" applyFont="1" applyFill="1" applyProtection="1">
      <protection locked="0"/>
    </xf>
    <xf numFmtId="0" fontId="15" fillId="3" borderId="32" xfId="0" applyFont="1" applyFill="1" applyBorder="1" applyAlignment="1">
      <alignment horizontal="right" wrapText="1"/>
    </xf>
    <xf numFmtId="0" fontId="7" fillId="8" borderId="37" xfId="0" applyFont="1" applyFill="1" applyBorder="1" applyAlignment="1">
      <alignment wrapText="1"/>
    </xf>
    <xf numFmtId="0" fontId="7" fillId="0" borderId="28" xfId="0" applyFont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3" borderId="16" xfId="0" applyFont="1" applyFill="1" applyBorder="1" applyAlignment="1">
      <alignment horizontal="left"/>
    </xf>
    <xf numFmtId="0" fontId="7" fillId="3" borderId="36" xfId="0" applyFont="1" applyFill="1" applyBorder="1" applyAlignment="1">
      <alignment horizontal="left"/>
    </xf>
    <xf numFmtId="0" fontId="7" fillId="3" borderId="15" xfId="0" applyFont="1" applyFill="1" applyBorder="1" applyAlignment="1">
      <alignment horizontal="left"/>
    </xf>
    <xf numFmtId="0" fontId="7" fillId="3" borderId="28" xfId="0" applyFont="1" applyFill="1" applyBorder="1" applyAlignment="1">
      <alignment horizontal="left"/>
    </xf>
    <xf numFmtId="0" fontId="6" fillId="3" borderId="17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6" fillId="4" borderId="27" xfId="0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0" fontId="7" fillId="3" borderId="27" xfId="0" applyFont="1" applyFill="1" applyBorder="1" applyAlignment="1">
      <alignment horizontal="left"/>
    </xf>
    <xf numFmtId="0" fontId="7" fillId="0" borderId="34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6" fillId="5" borderId="17" xfId="0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0" fontId="6" fillId="5" borderId="27" xfId="0" applyFont="1" applyFill="1" applyBorder="1" applyAlignment="1">
      <alignment horizontal="left"/>
    </xf>
    <xf numFmtId="0" fontId="6" fillId="6" borderId="17" xfId="0" applyFont="1" applyFill="1" applyBorder="1" applyAlignment="1">
      <alignment horizontal="center" wrapText="1"/>
    </xf>
    <xf numFmtId="0" fontId="6" fillId="6" borderId="27" xfId="0" applyFont="1" applyFill="1" applyBorder="1" applyAlignment="1">
      <alignment horizontal="center" wrapText="1"/>
    </xf>
    <xf numFmtId="0" fontId="7" fillId="6" borderId="23" xfId="0" applyFont="1" applyFill="1" applyBorder="1" applyAlignment="1">
      <alignment horizontal="left"/>
    </xf>
    <xf numFmtId="0" fontId="7" fillId="6" borderId="27" xfId="0" applyFont="1" applyFill="1" applyBorder="1" applyAlignment="1">
      <alignment horizontal="left"/>
    </xf>
    <xf numFmtId="167" fontId="17" fillId="0" borderId="1" xfId="1" applyNumberFormat="1" applyFont="1" applyBorder="1" applyAlignment="1" applyProtection="1">
      <alignment vertical="center" wrapText="1"/>
      <protection locked="0"/>
    </xf>
    <xf numFmtId="0" fontId="6" fillId="0" borderId="10" xfId="0" applyFont="1" applyBorder="1"/>
    <xf numFmtId="167" fontId="17" fillId="0" borderId="3" xfId="1" applyNumberFormat="1" applyFont="1" applyBorder="1" applyAlignment="1" applyProtection="1">
      <alignment vertical="center" wrapText="1"/>
      <protection locked="0"/>
    </xf>
    <xf numFmtId="167" fontId="17" fillId="0" borderId="3" xfId="1" applyNumberFormat="1" applyFont="1" applyFill="1" applyBorder="1" applyAlignment="1" applyProtection="1">
      <alignment vertical="center"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367677</xdr:colOff>
      <xdr:row>0</xdr:row>
      <xdr:rowOff>0</xdr:rowOff>
    </xdr:from>
    <xdr:to>
      <xdr:col>6</xdr:col>
      <xdr:colOff>3481920</xdr:colOff>
      <xdr:row>2</xdr:row>
      <xdr:rowOff>83084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35BB03-EEB3-46EA-99C2-096625543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4780" y="0"/>
          <a:ext cx="3114243" cy="842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4"/>
  <sheetViews>
    <sheetView tabSelected="1" topLeftCell="A70" zoomScale="107" zoomScaleNormal="107" workbookViewId="0">
      <selection activeCell="E66" sqref="E66"/>
    </sheetView>
  </sheetViews>
  <sheetFormatPr defaultColWidth="9.1796875" defaultRowHeight="13" x14ac:dyDescent="0.3"/>
  <cols>
    <col min="1" max="1" width="3.453125" style="3" customWidth="1"/>
    <col min="2" max="2" width="60.81640625" style="3" customWidth="1"/>
    <col min="3" max="3" width="13" style="2" customWidth="1"/>
    <col min="4" max="4" width="13.6328125" style="3" customWidth="1"/>
    <col min="5" max="5" width="16.81640625" style="3" customWidth="1"/>
    <col min="6" max="6" width="19.453125" style="3" customWidth="1"/>
    <col min="7" max="7" width="60.90625" style="3" customWidth="1"/>
    <col min="8" max="8" width="3.453125" style="3" customWidth="1"/>
    <col min="9" max="16384" width="9.1796875" style="3"/>
  </cols>
  <sheetData>
    <row r="1" spans="1:8" ht="39" customHeight="1" x14ac:dyDescent="0.75">
      <c r="B1" s="11" t="s">
        <v>0</v>
      </c>
    </row>
    <row r="2" spans="1:8" ht="21" x14ac:dyDescent="0.5">
      <c r="B2" s="85" t="s">
        <v>56</v>
      </c>
    </row>
    <row r="3" spans="1:8" ht="26" x14ac:dyDescent="0.6">
      <c r="B3" s="1"/>
    </row>
    <row r="4" spans="1:8" ht="13.5" thickBot="1" x14ac:dyDescent="0.35"/>
    <row r="5" spans="1:8" ht="37.5" customHeight="1" thickBot="1" x14ac:dyDescent="0.4">
      <c r="A5" s="4"/>
      <c r="B5" s="96" t="s">
        <v>1</v>
      </c>
      <c r="C5" s="97"/>
      <c r="D5" s="97"/>
      <c r="E5" s="97"/>
      <c r="F5" s="49">
        <f>C26-C79</f>
        <v>0</v>
      </c>
      <c r="G5"/>
      <c r="H5" s="4"/>
    </row>
    <row r="6" spans="1:8" ht="15" thickBot="1" x14ac:dyDescent="0.4">
      <c r="A6" s="4"/>
      <c r="G6"/>
      <c r="H6" s="4"/>
    </row>
    <row r="7" spans="1:8" ht="33.5" x14ac:dyDescent="0.75">
      <c r="A7" s="4"/>
      <c r="B7" s="13" t="s">
        <v>2</v>
      </c>
      <c r="C7" s="14" t="s">
        <v>3</v>
      </c>
      <c r="D7" s="15"/>
      <c r="E7" s="15"/>
      <c r="F7" s="16"/>
      <c r="G7"/>
      <c r="H7" s="4"/>
    </row>
    <row r="8" spans="1:8" s="5" customFormat="1" ht="53.25" customHeight="1" thickBot="1" x14ac:dyDescent="0.4">
      <c r="A8" s="4" t="s">
        <v>4</v>
      </c>
      <c r="B8" s="17" t="s">
        <v>5</v>
      </c>
      <c r="C8" s="19" t="s">
        <v>6</v>
      </c>
      <c r="D8" s="19" t="s">
        <v>7</v>
      </c>
      <c r="E8" s="19" t="s">
        <v>8</v>
      </c>
      <c r="F8" s="20" t="s">
        <v>7</v>
      </c>
      <c r="H8" s="4" t="s">
        <v>4</v>
      </c>
    </row>
    <row r="9" spans="1:8" s="5" customFormat="1" ht="19.5" customHeight="1" thickBot="1" x14ac:dyDescent="0.4">
      <c r="A9" s="4"/>
      <c r="B9" s="107" t="s">
        <v>9</v>
      </c>
      <c r="C9" s="108"/>
      <c r="D9" s="108"/>
      <c r="E9" s="108"/>
      <c r="F9" s="109"/>
      <c r="H9" s="4"/>
    </row>
    <row r="10" spans="1:8" s="4" customFormat="1" ht="19.5" customHeight="1" x14ac:dyDescent="0.35">
      <c r="B10" s="21" t="s">
        <v>10</v>
      </c>
      <c r="C10" s="22">
        <v>10000</v>
      </c>
      <c r="D10" s="23" t="s">
        <v>57</v>
      </c>
      <c r="E10" s="24"/>
      <c r="F10" s="25"/>
    </row>
    <row r="11" spans="1:8" s="4" customFormat="1" ht="19.5" customHeight="1" x14ac:dyDescent="0.35">
      <c r="B11" s="26" t="s">
        <v>49</v>
      </c>
      <c r="C11" s="27"/>
      <c r="D11" s="28"/>
      <c r="E11" s="29"/>
      <c r="F11" s="25"/>
    </row>
    <row r="12" spans="1:8" s="4" customFormat="1" ht="19.5" customHeight="1" x14ac:dyDescent="0.35">
      <c r="B12" s="30" t="s">
        <v>50</v>
      </c>
      <c r="C12" s="29"/>
      <c r="D12" s="31"/>
      <c r="E12" s="32"/>
      <c r="F12" s="33"/>
    </row>
    <row r="13" spans="1:8" s="4" customFormat="1" ht="19.5" customHeight="1" x14ac:dyDescent="0.35">
      <c r="B13" s="30" t="s">
        <v>58</v>
      </c>
      <c r="C13" s="29"/>
      <c r="D13" s="31"/>
      <c r="E13" s="32">
        <v>59971</v>
      </c>
      <c r="F13" s="115" t="s">
        <v>57</v>
      </c>
    </row>
    <row r="14" spans="1:8" s="4" customFormat="1" ht="19.5" customHeight="1" x14ac:dyDescent="0.35">
      <c r="B14" s="30"/>
      <c r="C14" s="29"/>
      <c r="D14" s="31"/>
      <c r="E14" s="32"/>
      <c r="F14" s="33"/>
    </row>
    <row r="15" spans="1:8" s="4" customFormat="1" ht="19.5" customHeight="1" thickBot="1" x14ac:dyDescent="0.4">
      <c r="B15" s="34" t="s">
        <v>11</v>
      </c>
      <c r="C15" s="35">
        <f>SUM(C10:C14)</f>
        <v>10000</v>
      </c>
      <c r="D15" s="36"/>
      <c r="E15" s="35">
        <f>SUM(E12:E14)</f>
        <v>59971</v>
      </c>
      <c r="F15" s="37"/>
    </row>
    <row r="16" spans="1:8" s="4" customFormat="1" ht="19.5" customHeight="1" thickBot="1" x14ac:dyDescent="0.4">
      <c r="B16" s="107" t="s">
        <v>12</v>
      </c>
      <c r="C16" s="108"/>
      <c r="D16" s="108"/>
      <c r="E16" s="108"/>
      <c r="F16" s="109"/>
    </row>
    <row r="17" spans="1:8" s="4" customFormat="1" ht="19.5" customHeight="1" x14ac:dyDescent="0.35">
      <c r="B17" s="21" t="s">
        <v>51</v>
      </c>
      <c r="C17" s="24"/>
      <c r="D17" s="73"/>
      <c r="E17" s="22"/>
      <c r="F17" s="38"/>
    </row>
    <row r="18" spans="1:8" s="4" customFormat="1" ht="19.5" customHeight="1" x14ac:dyDescent="0.35">
      <c r="B18" s="30"/>
      <c r="C18" s="29"/>
      <c r="D18" s="31"/>
      <c r="E18" s="22"/>
      <c r="F18" s="33"/>
    </row>
    <row r="19" spans="1:8" s="4" customFormat="1" ht="19.5" customHeight="1" x14ac:dyDescent="0.35">
      <c r="B19" s="30"/>
      <c r="C19" s="29"/>
      <c r="D19" s="31"/>
      <c r="E19" s="32"/>
      <c r="F19" s="33"/>
    </row>
    <row r="20" spans="1:8" s="4" customFormat="1" ht="19.5" customHeight="1" x14ac:dyDescent="0.35">
      <c r="B20" s="30" t="s">
        <v>52</v>
      </c>
      <c r="C20" s="29"/>
      <c r="D20" s="41"/>
      <c r="E20" s="32"/>
      <c r="F20" s="39"/>
    </row>
    <row r="21" spans="1:8" s="4" customFormat="1" ht="19.5" customHeight="1" thickBot="1" x14ac:dyDescent="0.4">
      <c r="B21" s="40" t="s">
        <v>13</v>
      </c>
      <c r="C21" s="29"/>
      <c r="D21" s="41"/>
      <c r="E21" s="29">
        <f>+SUM(E17:E20)</f>
        <v>0</v>
      </c>
      <c r="F21" s="42"/>
    </row>
    <row r="22" spans="1:8" s="4" customFormat="1" ht="19.5" customHeight="1" thickBot="1" x14ac:dyDescent="0.4">
      <c r="B22" s="107" t="s">
        <v>14</v>
      </c>
      <c r="C22" s="108"/>
      <c r="D22" s="108"/>
      <c r="E22" s="108"/>
      <c r="F22" s="109"/>
    </row>
    <row r="23" spans="1:8" s="4" customFormat="1" ht="19.5" customHeight="1" x14ac:dyDescent="0.35">
      <c r="B23" s="30" t="s">
        <v>53</v>
      </c>
      <c r="C23" s="29"/>
      <c r="D23" s="41"/>
      <c r="E23" s="32"/>
      <c r="F23" s="39"/>
    </row>
    <row r="24" spans="1:8" s="4" customFormat="1" ht="19.5" customHeight="1" x14ac:dyDescent="0.35">
      <c r="B24" s="43" t="s">
        <v>54</v>
      </c>
      <c r="C24" s="29"/>
      <c r="D24" s="41"/>
      <c r="E24" s="32"/>
      <c r="F24" s="39"/>
    </row>
    <row r="25" spans="1:8" s="4" customFormat="1" ht="19.5" customHeight="1" thickBot="1" x14ac:dyDescent="0.4">
      <c r="B25" s="44" t="s">
        <v>15</v>
      </c>
      <c r="C25" s="45">
        <f>C15</f>
        <v>10000</v>
      </c>
      <c r="D25" s="46"/>
      <c r="E25" s="45">
        <f>SUM(E21+E15+E23+E24)</f>
        <v>59971</v>
      </c>
      <c r="F25" s="47"/>
    </row>
    <row r="26" spans="1:8" s="6" customFormat="1" ht="19.5" customHeight="1" thickBot="1" x14ac:dyDescent="0.4">
      <c r="A26" s="7"/>
      <c r="B26" s="48" t="s">
        <v>16</v>
      </c>
      <c r="C26" s="49">
        <f>SUM(C25,E25)</f>
        <v>69971</v>
      </c>
      <c r="D26" s="50"/>
      <c r="E26" s="50"/>
      <c r="F26" s="50"/>
      <c r="H26" s="7"/>
    </row>
    <row r="28" spans="1:8" ht="13.5" thickBot="1" x14ac:dyDescent="0.35"/>
    <row r="29" spans="1:8" ht="34" thickBot="1" x14ac:dyDescent="0.8">
      <c r="B29" s="18" t="s">
        <v>17</v>
      </c>
      <c r="C29" s="112" t="s">
        <v>18</v>
      </c>
      <c r="D29" s="112"/>
      <c r="E29" s="112"/>
      <c r="F29" s="112"/>
      <c r="G29" s="113"/>
    </row>
    <row r="30" spans="1:8" s="8" customFormat="1" ht="125.25" customHeight="1" thickBot="1" x14ac:dyDescent="0.4">
      <c r="B30" s="74" t="s">
        <v>5</v>
      </c>
      <c r="C30" s="75" t="s">
        <v>19</v>
      </c>
      <c r="D30" s="76" t="s">
        <v>20</v>
      </c>
      <c r="E30" s="75" t="s">
        <v>21</v>
      </c>
      <c r="F30" s="110" t="s">
        <v>22</v>
      </c>
      <c r="G30" s="111"/>
    </row>
    <row r="31" spans="1:8" s="12" customFormat="1" ht="16" thickBot="1" x14ac:dyDescent="0.4">
      <c r="B31" s="98" t="s">
        <v>23</v>
      </c>
      <c r="C31" s="99"/>
      <c r="D31" s="99"/>
      <c r="E31" s="99"/>
      <c r="F31" s="99"/>
      <c r="G31" s="100"/>
    </row>
    <row r="32" spans="1:8" ht="15.5" x14ac:dyDescent="0.35">
      <c r="B32" s="51" t="s">
        <v>24</v>
      </c>
      <c r="C32" s="52"/>
      <c r="D32" s="114">
        <v>2380</v>
      </c>
      <c r="E32" s="53" t="s">
        <v>74</v>
      </c>
      <c r="F32" s="103" t="s">
        <v>59</v>
      </c>
      <c r="G32" s="104"/>
    </row>
    <row r="33" spans="2:7" ht="16" thickBot="1" x14ac:dyDescent="0.4">
      <c r="B33" s="51" t="s">
        <v>25</v>
      </c>
      <c r="C33" s="52"/>
      <c r="D33" s="57"/>
      <c r="E33" s="54"/>
      <c r="F33" s="90"/>
      <c r="G33" s="91"/>
    </row>
    <row r="34" spans="2:7" ht="16" thickBot="1" x14ac:dyDescent="0.4">
      <c r="B34" s="55" t="s">
        <v>26</v>
      </c>
      <c r="C34" s="56"/>
      <c r="D34" s="57"/>
      <c r="E34" s="58"/>
      <c r="F34" s="105"/>
      <c r="G34" s="106"/>
    </row>
    <row r="35" spans="2:7" ht="16" thickBot="1" x14ac:dyDescent="0.4">
      <c r="B35" s="44" t="s">
        <v>27</v>
      </c>
      <c r="C35" s="45"/>
      <c r="D35" s="45">
        <f>SUM(D32:D34)</f>
        <v>2380</v>
      </c>
      <c r="E35" s="70"/>
      <c r="F35" s="94"/>
      <c r="G35" s="95"/>
    </row>
    <row r="36" spans="2:7" s="12" customFormat="1" ht="16" thickBot="1" x14ac:dyDescent="0.4">
      <c r="B36" s="98" t="s">
        <v>28</v>
      </c>
      <c r="C36" s="99"/>
      <c r="D36" s="99"/>
      <c r="E36" s="99"/>
      <c r="F36" s="99"/>
      <c r="G36" s="100"/>
    </row>
    <row r="37" spans="2:7" ht="15.5" x14ac:dyDescent="0.35">
      <c r="B37" s="59" t="s">
        <v>29</v>
      </c>
      <c r="C37" s="60">
        <v>1500</v>
      </c>
      <c r="D37" s="60"/>
      <c r="E37" s="61"/>
      <c r="F37" s="90" t="s">
        <v>89</v>
      </c>
      <c r="G37" s="91"/>
    </row>
    <row r="38" spans="2:7" ht="30" customHeight="1" x14ac:dyDescent="0.35">
      <c r="B38" s="64" t="s">
        <v>30</v>
      </c>
      <c r="C38" s="32"/>
      <c r="D38" s="32"/>
      <c r="E38" s="53"/>
      <c r="F38" s="90"/>
      <c r="G38" s="91"/>
    </row>
    <row r="39" spans="2:7" ht="15.5" x14ac:dyDescent="0.35">
      <c r="B39" s="51" t="s">
        <v>67</v>
      </c>
      <c r="C39" s="32"/>
      <c r="D39" s="32">
        <v>2400</v>
      </c>
      <c r="E39" s="53" t="s">
        <v>74</v>
      </c>
      <c r="F39" s="90" t="s">
        <v>102</v>
      </c>
      <c r="G39" s="91"/>
    </row>
    <row r="40" spans="2:7" ht="15.5" x14ac:dyDescent="0.35">
      <c r="B40" s="51" t="s">
        <v>68</v>
      </c>
      <c r="C40" s="32"/>
      <c r="D40" s="32">
        <v>1250</v>
      </c>
      <c r="E40" s="53" t="s">
        <v>74</v>
      </c>
      <c r="F40" s="90" t="s">
        <v>101</v>
      </c>
      <c r="G40" s="91"/>
    </row>
    <row r="41" spans="2:7" ht="15.5" x14ac:dyDescent="0.35">
      <c r="B41" s="51" t="s">
        <v>66</v>
      </c>
      <c r="C41" s="32"/>
      <c r="D41" s="32">
        <v>496</v>
      </c>
      <c r="E41" s="53" t="s">
        <v>74</v>
      </c>
      <c r="F41" s="90" t="s">
        <v>69</v>
      </c>
      <c r="G41" s="91"/>
    </row>
    <row r="42" spans="2:7" ht="15.5" x14ac:dyDescent="0.35">
      <c r="B42" s="51" t="s">
        <v>31</v>
      </c>
      <c r="C42" s="32">
        <v>750</v>
      </c>
      <c r="D42" s="32"/>
      <c r="E42" s="53"/>
      <c r="F42" s="90" t="s">
        <v>70</v>
      </c>
      <c r="G42" s="91"/>
    </row>
    <row r="43" spans="2:7" ht="15.5" x14ac:dyDescent="0.35">
      <c r="B43" s="51" t="s">
        <v>71</v>
      </c>
      <c r="C43" s="32"/>
      <c r="D43" s="114">
        <v>1200</v>
      </c>
      <c r="E43" s="53" t="s">
        <v>74</v>
      </c>
      <c r="F43" s="90" t="s">
        <v>73</v>
      </c>
      <c r="G43" s="91"/>
    </row>
    <row r="44" spans="2:7" ht="15.5" x14ac:dyDescent="0.35">
      <c r="B44" s="51" t="s">
        <v>72</v>
      </c>
      <c r="C44" s="32"/>
      <c r="D44" s="114">
        <v>1200</v>
      </c>
      <c r="E44" s="53" t="s">
        <v>74</v>
      </c>
      <c r="F44" s="90" t="s">
        <v>73</v>
      </c>
      <c r="G44" s="91"/>
    </row>
    <row r="45" spans="2:7" ht="16" thickBot="1" x14ac:dyDescent="0.4">
      <c r="B45" s="44" t="s">
        <v>32</v>
      </c>
      <c r="C45" s="45">
        <f>SUM(C37:C44)</f>
        <v>2250</v>
      </c>
      <c r="D45" s="45">
        <f>SUM(D37:D44)</f>
        <v>6546</v>
      </c>
      <c r="E45" s="70"/>
      <c r="F45" s="94"/>
      <c r="G45" s="95"/>
    </row>
    <row r="46" spans="2:7" ht="16" thickBot="1" x14ac:dyDescent="0.4">
      <c r="B46" s="98" t="s">
        <v>33</v>
      </c>
      <c r="C46" s="99"/>
      <c r="D46" s="99"/>
      <c r="E46" s="99"/>
      <c r="F46" s="99"/>
      <c r="G46" s="100"/>
    </row>
    <row r="47" spans="2:7" ht="30" customHeight="1" x14ac:dyDescent="0.35">
      <c r="B47" s="62" t="s">
        <v>34</v>
      </c>
      <c r="C47" s="23"/>
      <c r="D47" s="23"/>
      <c r="E47" s="63"/>
      <c r="F47" s="90"/>
      <c r="G47" s="91"/>
    </row>
    <row r="48" spans="2:7" ht="15.5" x14ac:dyDescent="0.35">
      <c r="B48" s="51" t="s">
        <v>75</v>
      </c>
      <c r="C48" s="32"/>
      <c r="D48" s="114">
        <v>4250</v>
      </c>
      <c r="E48" s="53" t="s">
        <v>74</v>
      </c>
      <c r="F48" s="90" t="s">
        <v>109</v>
      </c>
      <c r="G48" s="91"/>
    </row>
    <row r="49" spans="2:7" ht="15.5" x14ac:dyDescent="0.35">
      <c r="B49" s="51" t="s">
        <v>76</v>
      </c>
      <c r="C49" s="32"/>
      <c r="D49" s="114">
        <v>2000</v>
      </c>
      <c r="E49" s="53" t="s">
        <v>74</v>
      </c>
      <c r="F49" s="30" t="s">
        <v>88</v>
      </c>
      <c r="G49" s="88"/>
    </row>
    <row r="50" spans="2:7" ht="15.5" x14ac:dyDescent="0.35">
      <c r="B50" s="51" t="s">
        <v>77</v>
      </c>
      <c r="C50" s="32"/>
      <c r="D50" s="114">
        <v>1650</v>
      </c>
      <c r="E50" s="53" t="s">
        <v>74</v>
      </c>
      <c r="F50" s="30" t="s">
        <v>89</v>
      </c>
      <c r="G50" s="88"/>
    </row>
    <row r="51" spans="2:7" ht="15.5" x14ac:dyDescent="0.35">
      <c r="B51" s="51" t="s">
        <v>78</v>
      </c>
      <c r="C51" s="32"/>
      <c r="D51" s="114">
        <v>3750</v>
      </c>
      <c r="E51" s="53" t="s">
        <v>74</v>
      </c>
      <c r="F51" s="30" t="s">
        <v>103</v>
      </c>
      <c r="G51" s="88"/>
    </row>
    <row r="52" spans="2:7" ht="15.5" x14ac:dyDescent="0.35">
      <c r="B52" s="51" t="s">
        <v>79</v>
      </c>
      <c r="C52" s="32"/>
      <c r="D52" s="114">
        <v>3000</v>
      </c>
      <c r="E52" s="53" t="s">
        <v>74</v>
      </c>
      <c r="F52" s="30" t="s">
        <v>110</v>
      </c>
      <c r="G52" s="88"/>
    </row>
    <row r="53" spans="2:7" ht="15.5" x14ac:dyDescent="0.35">
      <c r="B53" s="51" t="s">
        <v>80</v>
      </c>
      <c r="C53" s="32"/>
      <c r="D53" s="114">
        <v>1500</v>
      </c>
      <c r="E53" s="53" t="s">
        <v>74</v>
      </c>
      <c r="F53" s="30" t="s">
        <v>84</v>
      </c>
      <c r="G53" s="88"/>
    </row>
    <row r="54" spans="2:7" ht="15.5" x14ac:dyDescent="0.35">
      <c r="B54" s="51" t="s">
        <v>81</v>
      </c>
      <c r="C54" s="32"/>
      <c r="D54" s="114">
        <v>3750</v>
      </c>
      <c r="E54" s="53" t="s">
        <v>74</v>
      </c>
      <c r="F54" s="30" t="s">
        <v>85</v>
      </c>
      <c r="G54" s="88"/>
    </row>
    <row r="55" spans="2:7" ht="15.5" x14ac:dyDescent="0.35">
      <c r="B55" s="51" t="s">
        <v>82</v>
      </c>
      <c r="C55" s="32"/>
      <c r="D55" s="114">
        <v>1250</v>
      </c>
      <c r="E55" s="53" t="s">
        <v>74</v>
      </c>
      <c r="F55" s="30" t="s">
        <v>86</v>
      </c>
      <c r="G55" s="88"/>
    </row>
    <row r="56" spans="2:7" ht="15.5" x14ac:dyDescent="0.35">
      <c r="B56" s="51" t="s">
        <v>83</v>
      </c>
      <c r="C56" s="32"/>
      <c r="D56" s="114">
        <v>1250</v>
      </c>
      <c r="E56" s="53" t="s">
        <v>74</v>
      </c>
      <c r="F56" s="30" t="s">
        <v>87</v>
      </c>
      <c r="G56" s="88"/>
    </row>
    <row r="57" spans="2:7" ht="15.5" x14ac:dyDescent="0.35">
      <c r="B57" s="51" t="s">
        <v>104</v>
      </c>
      <c r="C57" s="32"/>
      <c r="D57" s="116">
        <v>1250</v>
      </c>
      <c r="E57" s="53" t="s">
        <v>74</v>
      </c>
      <c r="F57" s="30" t="s">
        <v>86</v>
      </c>
      <c r="G57" s="88"/>
    </row>
    <row r="58" spans="2:7" ht="15.5" x14ac:dyDescent="0.35">
      <c r="B58" s="51" t="s">
        <v>90</v>
      </c>
      <c r="C58" s="32"/>
      <c r="D58" s="116">
        <v>500</v>
      </c>
      <c r="E58" s="53" t="s">
        <v>74</v>
      </c>
      <c r="F58" s="30" t="s">
        <v>91</v>
      </c>
      <c r="G58" s="88"/>
    </row>
    <row r="59" spans="2:7" ht="15.5" x14ac:dyDescent="0.35">
      <c r="B59" s="64" t="s">
        <v>105</v>
      </c>
      <c r="C59" s="32"/>
      <c r="D59" s="116"/>
      <c r="E59" s="53"/>
      <c r="F59" s="30" t="s">
        <v>106</v>
      </c>
      <c r="G59" s="88"/>
    </row>
    <row r="60" spans="2:7" ht="15.5" x14ac:dyDescent="0.35">
      <c r="B60" s="51" t="s">
        <v>35</v>
      </c>
      <c r="C60" s="32"/>
      <c r="D60" s="117">
        <v>9700</v>
      </c>
      <c r="E60" s="53" t="s">
        <v>74</v>
      </c>
      <c r="F60" s="90" t="s">
        <v>60</v>
      </c>
      <c r="G60" s="91"/>
    </row>
    <row r="61" spans="2:7" ht="15.5" x14ac:dyDescent="0.35">
      <c r="B61" s="51" t="s">
        <v>36</v>
      </c>
      <c r="C61" s="32"/>
      <c r="D61" s="117">
        <v>5000</v>
      </c>
      <c r="E61" s="53" t="s">
        <v>74</v>
      </c>
      <c r="F61" s="90" t="s">
        <v>61</v>
      </c>
      <c r="G61" s="91"/>
    </row>
    <row r="62" spans="2:7" ht="15.5" x14ac:dyDescent="0.35">
      <c r="B62" s="51" t="s">
        <v>37</v>
      </c>
      <c r="C62" s="32"/>
      <c r="D62" s="117">
        <v>2500</v>
      </c>
      <c r="E62" s="53" t="s">
        <v>74</v>
      </c>
      <c r="F62" s="90" t="s">
        <v>65</v>
      </c>
      <c r="G62" s="91"/>
    </row>
    <row r="63" spans="2:7" ht="15.5" x14ac:dyDescent="0.35">
      <c r="B63" s="51" t="s">
        <v>62</v>
      </c>
      <c r="C63" s="32"/>
      <c r="D63" s="117">
        <v>1500</v>
      </c>
      <c r="E63" s="53" t="s">
        <v>74</v>
      </c>
      <c r="F63" s="90" t="s">
        <v>63</v>
      </c>
      <c r="G63" s="91"/>
    </row>
    <row r="64" spans="2:7" ht="15.5" x14ac:dyDescent="0.35">
      <c r="B64" s="51" t="s">
        <v>111</v>
      </c>
      <c r="C64" s="32">
        <v>4500</v>
      </c>
      <c r="D64" s="117"/>
      <c r="E64" s="53"/>
      <c r="F64" s="90" t="s">
        <v>64</v>
      </c>
      <c r="G64" s="91"/>
    </row>
    <row r="65" spans="2:7" ht="15.5" x14ac:dyDescent="0.35">
      <c r="B65" s="51" t="s">
        <v>93</v>
      </c>
      <c r="C65" s="32"/>
      <c r="D65" s="117">
        <v>3000</v>
      </c>
      <c r="E65" s="53"/>
      <c r="F65" s="30" t="s">
        <v>94</v>
      </c>
      <c r="G65" s="88"/>
    </row>
    <row r="66" spans="2:7" ht="30" customHeight="1" x14ac:dyDescent="0.35">
      <c r="B66" s="64" t="s">
        <v>38</v>
      </c>
      <c r="C66" s="32"/>
      <c r="D66" s="32"/>
      <c r="E66" s="53"/>
      <c r="F66" s="90"/>
      <c r="G66" s="91"/>
    </row>
    <row r="67" spans="2:7" ht="15.5" x14ac:dyDescent="0.35">
      <c r="B67" s="51" t="s">
        <v>95</v>
      </c>
      <c r="C67" s="32"/>
      <c r="D67" s="114">
        <v>2500</v>
      </c>
      <c r="E67" s="53" t="s">
        <v>74</v>
      </c>
      <c r="F67" s="90" t="s">
        <v>92</v>
      </c>
      <c r="G67" s="91"/>
    </row>
    <row r="68" spans="2:7" ht="15.5" x14ac:dyDescent="0.35">
      <c r="B68" s="51" t="s">
        <v>96</v>
      </c>
      <c r="C68" s="32"/>
      <c r="D68" s="114">
        <v>200</v>
      </c>
      <c r="E68" s="53" t="s">
        <v>74</v>
      </c>
      <c r="F68" s="30" t="s">
        <v>98</v>
      </c>
      <c r="G68" s="88"/>
    </row>
    <row r="69" spans="2:7" ht="15.5" x14ac:dyDescent="0.35">
      <c r="B69" s="51" t="s">
        <v>97</v>
      </c>
      <c r="C69" s="32"/>
      <c r="D69" s="114">
        <v>240</v>
      </c>
      <c r="E69" s="53" t="s">
        <v>74</v>
      </c>
      <c r="F69" s="30" t="s">
        <v>99</v>
      </c>
      <c r="G69" s="88"/>
    </row>
    <row r="70" spans="2:7" ht="16" thickBot="1" x14ac:dyDescent="0.4">
      <c r="B70" s="44" t="s">
        <v>39</v>
      </c>
      <c r="C70" s="45">
        <f>SUM(C47:C69)</f>
        <v>4500</v>
      </c>
      <c r="D70" s="45">
        <f>SUM(D47:D69)</f>
        <v>48790</v>
      </c>
      <c r="E70" s="70"/>
      <c r="F70" s="94"/>
      <c r="G70" s="95"/>
    </row>
    <row r="71" spans="2:7" ht="16" thickBot="1" x14ac:dyDescent="0.4">
      <c r="B71" s="98" t="s">
        <v>40</v>
      </c>
      <c r="C71" s="99"/>
      <c r="D71" s="99"/>
      <c r="E71" s="99"/>
      <c r="F71" s="99"/>
      <c r="G71" s="100"/>
    </row>
    <row r="72" spans="2:7" ht="15.5" x14ac:dyDescent="0.35">
      <c r="B72" s="65" t="s">
        <v>41</v>
      </c>
      <c r="C72" s="22">
        <v>1250</v>
      </c>
      <c r="D72" s="22"/>
      <c r="E72" s="63"/>
      <c r="F72" s="103" t="s">
        <v>108</v>
      </c>
      <c r="G72" s="104"/>
    </row>
    <row r="73" spans="2:7" ht="15.5" x14ac:dyDescent="0.35">
      <c r="B73" s="65" t="s">
        <v>100</v>
      </c>
      <c r="C73" s="22"/>
      <c r="D73" s="22">
        <v>2255</v>
      </c>
      <c r="E73" s="53" t="s">
        <v>74</v>
      </c>
      <c r="F73" s="21" t="s">
        <v>112</v>
      </c>
      <c r="G73" s="89"/>
    </row>
    <row r="74" spans="2:7" ht="16" thickBot="1" x14ac:dyDescent="0.4">
      <c r="B74" s="51" t="s">
        <v>55</v>
      </c>
      <c r="C74" s="32">
        <v>0</v>
      </c>
      <c r="D74" s="32">
        <v>0</v>
      </c>
      <c r="E74" s="53"/>
      <c r="F74" s="90"/>
      <c r="G74" s="91"/>
    </row>
    <row r="75" spans="2:7" ht="16" thickBot="1" x14ac:dyDescent="0.4">
      <c r="B75" s="72" t="s">
        <v>42</v>
      </c>
      <c r="C75" s="71">
        <f>SUM(C72:C74)</f>
        <v>1250</v>
      </c>
      <c r="D75" s="71">
        <f>SUM(D72:D74)</f>
        <v>2255</v>
      </c>
      <c r="E75" s="71"/>
      <c r="F75" s="101"/>
      <c r="G75" s="102"/>
    </row>
    <row r="76" spans="2:7" ht="15.5" x14ac:dyDescent="0.35">
      <c r="B76" s="65" t="s">
        <v>43</v>
      </c>
      <c r="C76" s="22">
        <v>2000</v>
      </c>
      <c r="D76" s="22"/>
      <c r="E76" s="63"/>
      <c r="F76" s="90" t="s">
        <v>107</v>
      </c>
      <c r="G76" s="91"/>
    </row>
    <row r="77" spans="2:7" ht="16" thickBot="1" x14ac:dyDescent="0.4">
      <c r="B77" s="44" t="s">
        <v>44</v>
      </c>
      <c r="C77" s="45">
        <f>SUM(C75:C76)</f>
        <v>3250</v>
      </c>
      <c r="D77" s="45">
        <f>SUM(D75:D76)</f>
        <v>2255</v>
      </c>
      <c r="E77" s="45"/>
      <c r="F77" s="92"/>
      <c r="G77" s="93"/>
    </row>
    <row r="78" spans="2:7" ht="57" customHeight="1" thickBot="1" x14ac:dyDescent="0.4">
      <c r="B78" s="86" t="s">
        <v>45</v>
      </c>
      <c r="C78" s="82">
        <f>SUM(C77,C70,C45)</f>
        <v>10000</v>
      </c>
      <c r="D78" s="77"/>
      <c r="E78" s="77"/>
      <c r="F78" s="78"/>
      <c r="G78" s="78"/>
    </row>
    <row r="79" spans="2:7" ht="16" thickBot="1" x14ac:dyDescent="0.4">
      <c r="B79" s="83" t="s">
        <v>46</v>
      </c>
      <c r="C79" s="84">
        <f>SUM(C77,D77,C70,D70,C45,D45,D35)</f>
        <v>69971</v>
      </c>
      <c r="D79" s="79"/>
      <c r="E79" s="80"/>
      <c r="F79" s="80"/>
      <c r="G79" s="81"/>
    </row>
    <row r="80" spans="2:7" ht="16" thickBot="1" x14ac:dyDescent="0.4">
      <c r="B80" s="12"/>
      <c r="C80" s="12"/>
      <c r="D80" s="12"/>
      <c r="E80" s="12"/>
      <c r="F80" s="12"/>
      <c r="G80" s="12"/>
    </row>
    <row r="81" spans="1:8" s="6" customFormat="1" ht="48" customHeight="1" thickBot="1" x14ac:dyDescent="0.4">
      <c r="A81" s="9"/>
      <c r="B81" s="66" t="s">
        <v>1</v>
      </c>
      <c r="C81" s="67">
        <f>C26-C79</f>
        <v>0</v>
      </c>
      <c r="D81" s="68"/>
      <c r="E81" s="68"/>
      <c r="F81" s="68"/>
      <c r="G81" s="69"/>
      <c r="H81" s="9"/>
    </row>
    <row r="82" spans="1:8" ht="15.5" x14ac:dyDescent="0.35">
      <c r="B82" s="12"/>
      <c r="C82" s="10"/>
      <c r="D82" s="12"/>
      <c r="E82" s="12"/>
      <c r="F82" s="12"/>
      <c r="G82" s="12"/>
    </row>
    <row r="83" spans="1:8" ht="13.5" thickBot="1" x14ac:dyDescent="0.35">
      <c r="G83" s="3" t="s">
        <v>47</v>
      </c>
    </row>
    <row r="84" spans="1:8" ht="47" thickBot="1" x14ac:dyDescent="0.4">
      <c r="B84" s="87" t="s">
        <v>48</v>
      </c>
    </row>
  </sheetData>
  <protectedRanges>
    <protectedRange sqref="C10:F11 C12:D14 F12:F14" name="Government Funding Actual"/>
    <protectedRange sqref="C17:F20 E12:E14" name="Total Private Actual"/>
    <protectedRange sqref="C23:F24" name="Total Earned Actual"/>
    <protectedRange sqref="D37:D39 C37:C38 D41 C33:C34 C42:D44" name="Artistic Proposed"/>
    <protectedRange sqref="D37:D39 C37:C38 D41 C33:C34 C42:D44" name="Artistic Actual"/>
    <protectedRange sqref="C47:D69" name="Technical Actual"/>
    <protectedRange sqref="C72:D74" name="Administrative Actual"/>
    <protectedRange sqref="C76:D76" name="Total Expenses Actual"/>
    <protectedRange sqref="C32" name="Artistic Proposed_1"/>
    <protectedRange sqref="C32" name="Artistic Actual_1"/>
  </protectedRanges>
  <mergeCells count="38">
    <mergeCell ref="B36:G36"/>
    <mergeCell ref="F32:G32"/>
    <mergeCell ref="F33:G33"/>
    <mergeCell ref="F34:G34"/>
    <mergeCell ref="B9:F9"/>
    <mergeCell ref="B16:F16"/>
    <mergeCell ref="B22:F22"/>
    <mergeCell ref="B31:G31"/>
    <mergeCell ref="F30:G30"/>
    <mergeCell ref="C29:G29"/>
    <mergeCell ref="F37:G37"/>
    <mergeCell ref="F38:G38"/>
    <mergeCell ref="F42:G42"/>
    <mergeCell ref="F43:G43"/>
    <mergeCell ref="F44:G44"/>
    <mergeCell ref="F41:G41"/>
    <mergeCell ref="F62:G62"/>
    <mergeCell ref="F63:G63"/>
    <mergeCell ref="F39:G39"/>
    <mergeCell ref="F40:G40"/>
    <mergeCell ref="B46:G46"/>
    <mergeCell ref="F45:G45"/>
    <mergeCell ref="F60:G60"/>
    <mergeCell ref="F76:G76"/>
    <mergeCell ref="F77:G77"/>
    <mergeCell ref="F35:G35"/>
    <mergeCell ref="B5:E5"/>
    <mergeCell ref="B71:G71"/>
    <mergeCell ref="F75:G75"/>
    <mergeCell ref="F72:G72"/>
    <mergeCell ref="F74:G74"/>
    <mergeCell ref="F70:G70"/>
    <mergeCell ref="F64:G64"/>
    <mergeCell ref="F66:G66"/>
    <mergeCell ref="F67:G67"/>
    <mergeCell ref="F47:G47"/>
    <mergeCell ref="F48:G48"/>
    <mergeCell ref="F61:G61"/>
  </mergeCells>
  <phoneticPr fontId="0" type="noConversion"/>
  <dataValidations count="1">
    <dataValidation type="list" allowBlank="1" showInputMessage="1" showErrorMessage="1" sqref="D23:D24 F23:F24 D17:D20 D10:D14 F10:F14 F17:F20" xr:uid="{2D868D35-D7F9-480C-BEEB-4D5DBA1CD186}">
      <formula1>"Yes,No"</formula1>
    </dataValidation>
  </dataValidations>
  <pageMargins left="0.75" right="0.75" top="1" bottom="1" header="0.5" footer="0.5"/>
  <pageSetup paperSize="3" fitToWidth="0" fitToHeight="0" orientation="landscape" r:id="rId1"/>
  <headerFooter alignWithMargins="0">
    <oddFooter>&amp;L&amp;"-,Regular"Ontario Arts Council&amp;R&amp;"-,Regular"page &amp;P of &amp;N</oddFooter>
  </headerFooter>
  <rowBreaks count="1" manualBreakCount="1">
    <brk id="27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7E051691BF34D87A73EA94DDC4E46" ma:contentTypeVersion="20" ma:contentTypeDescription="Create a new document." ma:contentTypeScope="" ma:versionID="c9cddcf62c33aedb35527cbbd755eb5f">
  <xsd:schema xmlns:xsd="http://www.w3.org/2001/XMLSchema" xmlns:xs="http://www.w3.org/2001/XMLSchema" xmlns:p="http://schemas.microsoft.com/office/2006/metadata/properties" xmlns:ns2="f058e8c9-0f1b-4dcf-b643-7f9bc96115e3" xmlns:ns3="772ff2fb-431b-4343-9d1b-8414afdaf4d8" targetNamespace="http://schemas.microsoft.com/office/2006/metadata/properties" ma:root="true" ma:fieldsID="70dae36d0e57b4af1b019dd75090bf59" ns2:_="" ns3:_="">
    <xsd:import namespace="f058e8c9-0f1b-4dcf-b643-7f9bc96115e3"/>
    <xsd:import namespace="772ff2fb-431b-4343-9d1b-8414afdaf4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eadlineNa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8e8c9-0f1b-4dcf-b643-7f9bc96115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eb4071b-a132-4125-a90b-6e87e3fd5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eadlineName" ma:index="24" nillable="true" ma:displayName="Deadline Name" ma:format="Dropdown" ma:internalName="DeadlineName">
      <xsd:simpleType>
        <xsd:union memberTypes="dms:Text">
          <xsd:simpleType>
            <xsd:restriction base="dms:Choice">
              <xsd:enumeration value="MAR 24"/>
              <xsd:enumeration value="OCT 5"/>
              <xsd:enumeration value="Choice 3"/>
            </xsd:restriction>
          </xsd:simpleType>
        </xsd:un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ff2fb-431b-4343-9d1b-8414afdaf4d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a4a335-3011-4236-81f5-17622fc4cf32}" ma:internalName="TaxCatchAll" ma:showField="CatchAllData" ma:web="772ff2fb-431b-4343-9d1b-8414afdaf4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58e8c9-0f1b-4dcf-b643-7f9bc96115e3">
      <Terms xmlns="http://schemas.microsoft.com/office/infopath/2007/PartnerControls"/>
    </lcf76f155ced4ddcb4097134ff3c332f>
    <DeadlineName xmlns="f058e8c9-0f1b-4dcf-b643-7f9bc96115e3" xsi:nil="true"/>
    <TaxCatchAll xmlns="772ff2fb-431b-4343-9d1b-8414afdaf4d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4F1C2E-3392-49EC-A0E1-396E7ECE7D3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EF92EDF-1B35-4B73-B388-59937BCEF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8e8c9-0f1b-4dcf-b643-7f9bc96115e3"/>
    <ds:schemaRef ds:uri="772ff2fb-431b-4343-9d1b-8414afdaf4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445CE5-56BA-4432-871A-A95CCC0B67B2}">
  <ds:schemaRefs>
    <ds:schemaRef ds:uri="http://schemas.microsoft.com/office/2006/documentManagement/types"/>
    <ds:schemaRef ds:uri="772ff2fb-431b-4343-9d1b-8414afdaf4d8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f058e8c9-0f1b-4dcf-b643-7f9bc96115e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C266B91-870D-46E2-B339-47A856BA53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OAC Detailed Budget</vt:lpstr>
    </vt:vector>
  </TitlesOfParts>
  <Manager/>
  <Company>OAC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Wohrle</dc:creator>
  <cp:keywords/>
  <dc:description/>
  <cp:lastModifiedBy>Anthony Michael Perri</cp:lastModifiedBy>
  <cp:revision/>
  <dcterms:created xsi:type="dcterms:W3CDTF">2004-12-01T20:45:48Z</dcterms:created>
  <dcterms:modified xsi:type="dcterms:W3CDTF">2025-03-30T22:23:37Z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Mark Haslam</vt:lpwstr>
  </property>
  <property fmtid="{D5CDD505-2E9C-101B-9397-08002B2CF9AE}" pid="3" name="Order">
    <vt:lpwstr>10547600.0000000</vt:lpwstr>
  </property>
  <property fmtid="{D5CDD505-2E9C-101B-9397-08002B2CF9AE}" pid="4" name="display_urn:schemas-microsoft-com:office:office#Author">
    <vt:lpwstr>Mark Haslam</vt:lpwstr>
  </property>
  <property fmtid="{D5CDD505-2E9C-101B-9397-08002B2CF9AE}" pid="5" name="ContentTypeId">
    <vt:lpwstr>0x010100B477E051691BF34D87A73EA94DDC4E46</vt:lpwstr>
  </property>
  <property fmtid="{D5CDD505-2E9C-101B-9397-08002B2CF9AE}" pid="6" name="MediaServiceImageTags">
    <vt:lpwstr/>
  </property>
</Properties>
</file>